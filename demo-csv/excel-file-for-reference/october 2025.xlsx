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<sst xmlns="http://schemas.openxmlformats.org/spreadsheetml/2006/main" count="44" uniqueCount="40">
  <si>
    <t>Room No.</t>
  </si>
  <si>
    <t>Meter No.</t>
  </si>
  <si>
    <t>[previous] Units T.</t>
  </si>
  <si>
    <t>present units</t>
  </si>
  <si>
    <t>[present] UNITS</t>
  </si>
  <si>
    <t>[present] BILL</t>
  </si>
  <si>
    <t>Rent</t>
  </si>
  <si>
    <t>Gas Bill</t>
  </si>
  <si>
    <t>Service Charge</t>
  </si>
  <si>
    <t>Total W BILLS</t>
  </si>
  <si>
    <t>Previous Due</t>
  </si>
  <si>
    <t>Paid</t>
  </si>
  <si>
    <t>Due</t>
  </si>
  <si>
    <t>Occupied</t>
  </si>
  <si>
    <t>TOTAL W. OC</t>
  </si>
  <si>
    <t>advance paid</t>
  </si>
  <si>
    <t>1A</t>
  </si>
  <si>
    <t>1B</t>
  </si>
  <si>
    <t>2A</t>
  </si>
  <si>
    <t>2B</t>
  </si>
  <si>
    <t>2C</t>
  </si>
  <si>
    <t>3BC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</si>
  <si>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</si>
  <si>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</si>
  <si>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</si>
  <si>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</si>
  <si>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</si>
  <si>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</si>
  <si>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</si>
  <si>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</si>
  <si>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</si>
  <si>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7A</t>
  </si>
  <si>
    <t>7B</t>
  </si>
  <si>
    <t>3A</t>
  </si>
  <si>
    <t>3B</t>
  </si>
  <si>
    <t xml:space="preserve"> </t>
  </si>
  <si>
    <t>Bill to give</t>
  </si>
  <si>
    <t>Bill taken</t>
  </si>
  <si>
    <t>without 1 meter</t>
  </si>
  <si>
    <t>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</si>
</sst>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2" fontId="1" numFmtId="0" xfId="0" applyAlignment="1" applyFont="1">
      <alignment horizontal="right" vertical="bottom"/>
    </xf>
    <xf borderId="0" fillId="2" fontId="1" numFmtId="0" xfId="0" applyAlignment="1" applyFont="1">
      <alignment horizontal="right" readingOrder="0" vertical="bottom"/>
    </xf>
    <xf borderId="0" fillId="2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5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16</v>
      </c>
      <c r="B2" s="7">
        <v>57438.0</v>
      </c>
      <c r="C2" s="8">
        <v>11273.0</v>
      </c>
      <c r="D2" s="8">
        <v>11318.0</v>
      </c>
      <c r="E2" s="7">
        <f t="shared" ref="E2:E18" si="1">D2-C2</f>
        <v>45</v>
      </c>
      <c r="F2" s="7">
        <f t="shared" ref="F2:F28" si="2">IF(E2&lt;200, E2*9, E2*10)</f>
        <v>405</v>
      </c>
      <c r="G2" s="7">
        <v>7500.0</v>
      </c>
      <c r="H2" s="7">
        <v>1080.0</v>
      </c>
      <c r="I2" s="9">
        <v>500.0</v>
      </c>
      <c r="J2" s="10">
        <f t="shared" ref="J2:J18" si="3">sum(F2:I2)</f>
        <v>9485</v>
      </c>
      <c r="K2" s="8">
        <v>0.0</v>
      </c>
      <c r="L2" s="2"/>
      <c r="M2" s="7">
        <f t="shared" ref="M2:M18" si="4">O2-L2</f>
        <v>9485</v>
      </c>
      <c r="N2" s="7">
        <v>1.0</v>
      </c>
      <c r="O2" s="10">
        <f t="shared" ref="O2:O16" si="5">(J2*N2)+K2</f>
        <v>9485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17</v>
      </c>
      <c r="B3" s="7">
        <v>57414.0</v>
      </c>
      <c r="C3" s="8">
        <v>14520.0</v>
      </c>
      <c r="D3" s="8">
        <v>14610.0</v>
      </c>
      <c r="E3" s="7">
        <f t="shared" si="1"/>
        <v>90</v>
      </c>
      <c r="F3" s="7">
        <f t="shared" si="2"/>
        <v>810</v>
      </c>
      <c r="G3" s="8">
        <v>7500.0</v>
      </c>
      <c r="H3" s="7">
        <v>1080.0</v>
      </c>
      <c r="I3" s="9">
        <v>500.0</v>
      </c>
      <c r="J3" s="10">
        <f t="shared" si="3"/>
        <v>9890</v>
      </c>
      <c r="K3" s="8">
        <v>0.0</v>
      </c>
      <c r="L3" s="2"/>
      <c r="M3" s="7">
        <f t="shared" si="4"/>
        <v>9890</v>
      </c>
      <c r="N3" s="7">
        <v>1.0</v>
      </c>
      <c r="O3" s="10">
        <f t="shared" si="5"/>
        <v>9890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18</v>
      </c>
      <c r="B4" s="7">
        <v>57437.0</v>
      </c>
      <c r="C4" s="8">
        <v>20045.0</v>
      </c>
      <c r="D4" s="8">
        <v>20145.0</v>
      </c>
      <c r="E4" s="7">
        <f t="shared" si="1"/>
        <v>100</v>
      </c>
      <c r="F4" s="7">
        <f t="shared" si="2"/>
        <v>900</v>
      </c>
      <c r="G4" s="8">
        <v>7500.0</v>
      </c>
      <c r="H4" s="7">
        <v>1080.0</v>
      </c>
      <c r="I4" s="9">
        <v>500.0</v>
      </c>
      <c r="J4" s="10">
        <f t="shared" si="3"/>
        <v>9980</v>
      </c>
      <c r="K4" s="7">
        <v>0.0</v>
      </c>
      <c r="L4" s="2"/>
      <c r="M4" s="7">
        <f t="shared" si="4"/>
        <v>9980</v>
      </c>
      <c r="N4" s="7">
        <v>1.0</v>
      </c>
      <c r="O4" s="10">
        <f t="shared" si="5"/>
        <v>9980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19</v>
      </c>
      <c r="B5" s="7">
        <v>57412.0</v>
      </c>
      <c r="C5" s="8">
        <v>12990.0</v>
      </c>
      <c r="D5" s="8">
        <v>13073.0</v>
      </c>
      <c r="E5" s="7">
        <f t="shared" si="1"/>
        <v>83</v>
      </c>
      <c r="F5" s="7">
        <f t="shared" si="2"/>
        <v>747</v>
      </c>
      <c r="G5" s="7">
        <v>7000.0</v>
      </c>
      <c r="H5" s="7">
        <v>1080.0</v>
      </c>
      <c r="I5" s="9">
        <v>500.0</v>
      </c>
      <c r="J5" s="10">
        <f t="shared" si="3"/>
        <v>9327</v>
      </c>
      <c r="K5" s="7">
        <v>0.0</v>
      </c>
      <c r="L5" s="2"/>
      <c r="M5" s="7">
        <f t="shared" si="4"/>
        <v>9327</v>
      </c>
      <c r="N5" s="8">
        <v>1.0</v>
      </c>
      <c r="O5" s="10">
        <f t="shared" si="5"/>
        <v>9327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20</v>
      </c>
      <c r="B6" s="7">
        <v>57436.0</v>
      </c>
      <c r="C6" s="8">
        <v>17143.0</v>
      </c>
      <c r="D6" s="8">
        <v>17292.0</v>
      </c>
      <c r="E6" s="7">
        <f t="shared" si="1"/>
        <v>149</v>
      </c>
      <c r="F6" s="7">
        <f t="shared" si="2"/>
        <v>1341</v>
      </c>
      <c r="G6" s="7">
        <v>7500.0</v>
      </c>
      <c r="H6" s="7">
        <v>1080.0</v>
      </c>
      <c r="I6" s="9">
        <v>500.0</v>
      </c>
      <c r="J6" s="10">
        <f t="shared" si="3"/>
        <v>10421</v>
      </c>
      <c r="K6" s="8">
        <v>0.0</v>
      </c>
      <c r="L6" s="2"/>
      <c r="M6" s="7">
        <f t="shared" si="4"/>
        <v>10421</v>
      </c>
      <c r="N6" s="7">
        <v>1.0</v>
      </c>
      <c r="O6" s="10">
        <f t="shared" si="5"/>
        <v>10421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21</v>
      </c>
      <c r="B7" s="7">
        <v>88548.0</v>
      </c>
      <c r="C7" s="1"/>
      <c r="D7" s="1"/>
      <c r="E7" s="7">
        <f t="shared" si="1"/>
        <v>0</v>
      </c>
      <c r="F7" s="7">
        <f t="shared" si="2"/>
        <v>0</v>
      </c>
      <c r="G7" s="7">
        <v>0.0</v>
      </c>
      <c r="H7" s="2">
        <v>1080.0</v>
      </c>
      <c r="I7" s="9">
        <v>500.0</v>
      </c>
      <c r="J7" s="10">
        <f t="shared" si="3"/>
        <v>1580</v>
      </c>
      <c r="K7" s="7">
        <v>0.0</v>
      </c>
      <c r="L7" s="2"/>
      <c r="M7" s="7">
        <f t="shared" si="4"/>
        <v>1580</v>
      </c>
      <c r="N7" s="7">
        <v>1.0</v>
      </c>
      <c r="O7" s="10">
        <f t="shared" si="5"/>
        <v>1580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22</v>
      </c>
      <c r="B8" s="7">
        <v>830186.0</v>
      </c>
      <c r="C8" s="1">
        <v>66123.0</v>
      </c>
      <c r="D8" s="1">
        <v>66238.0</v>
      </c>
      <c r="E8" s="7">
        <f t="shared" si="1"/>
        <v>115</v>
      </c>
      <c r="F8" s="7">
        <f t="shared" si="2"/>
        <v>1035</v>
      </c>
      <c r="G8" s="7">
        <v>7000.0</v>
      </c>
      <c r="H8" s="7">
        <v>1080.0</v>
      </c>
      <c r="I8" s="9">
        <v>500.0</v>
      </c>
      <c r="J8" s="10">
        <f t="shared" si="3"/>
        <v>9615</v>
      </c>
      <c r="K8" s="8">
        <v>0.0</v>
      </c>
      <c r="L8" s="2"/>
      <c r="M8" s="7">
        <f t="shared" si="4"/>
        <v>9615</v>
      </c>
      <c r="N8" s="7">
        <v>1.0</v>
      </c>
      <c r="O8" s="10">
        <f t="shared" si="5"/>
        <v>9615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23</v>
      </c>
      <c r="B9" s="7">
        <v>57419.0</v>
      </c>
      <c r="C9" s="8">
        <v>13827.0</v>
      </c>
      <c r="D9" s="8">
        <v>13963.0</v>
      </c>
      <c r="E9" s="7">
        <f t="shared" si="1"/>
        <v>136</v>
      </c>
      <c r="F9" s="7">
        <f t="shared" si="2"/>
        <v>1224</v>
      </c>
      <c r="G9" s="7">
        <v>6500.0</v>
      </c>
      <c r="H9" s="7">
        <v>1080.0</v>
      </c>
      <c r="I9" s="9">
        <v>500.0</v>
      </c>
      <c r="J9" s="10">
        <f t="shared" si="3"/>
        <v>9304</v>
      </c>
      <c r="K9" s="8">
        <v>0.0</v>
      </c>
      <c r="L9" s="2"/>
      <c r="M9" s="7">
        <f t="shared" si="4"/>
        <v>9304</v>
      </c>
      <c r="N9" s="7">
        <v>1.0</v>
      </c>
      <c r="O9" s="10">
        <f t="shared" si="5"/>
        <v>9304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24</v>
      </c>
      <c r="B10" s="7">
        <v>57440.0</v>
      </c>
      <c r="C10" s="8">
        <v>14860.0</v>
      </c>
      <c r="D10" s="8">
        <v>15010.0</v>
      </c>
      <c r="E10" s="7">
        <f t="shared" si="1"/>
        <v>150</v>
      </c>
      <c r="F10" s="7">
        <f t="shared" si="2"/>
        <v>1350</v>
      </c>
      <c r="G10" s="7">
        <v>7000.0</v>
      </c>
      <c r="H10" s="7">
        <v>1080.0</v>
      </c>
      <c r="I10" s="9">
        <v>500.0</v>
      </c>
      <c r="J10" s="10">
        <f t="shared" si="3"/>
        <v>9930</v>
      </c>
      <c r="K10" s="8">
        <v>0.0</v>
      </c>
      <c r="L10" s="2"/>
      <c r="M10" s="7">
        <f t="shared" si="4"/>
        <v>9930</v>
      </c>
      <c r="N10" s="7">
        <v>1.0</v>
      </c>
      <c r="O10" s="10">
        <f t="shared" si="5"/>
        <v>9930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25</v>
      </c>
      <c r="B11" s="7">
        <v>57413.0</v>
      </c>
      <c r="C11" s="8">
        <v>15291.0</v>
      </c>
      <c r="D11" s="8">
        <v>15350.0</v>
      </c>
      <c r="E11" s="7">
        <f t="shared" si="1"/>
        <v>59</v>
      </c>
      <c r="F11" s="7">
        <f t="shared" si="2"/>
        <v>531</v>
      </c>
      <c r="G11" s="8">
        <v>7000.0</v>
      </c>
      <c r="H11" s="7">
        <v>1080.0</v>
      </c>
      <c r="I11" s="9">
        <v>500.0</v>
      </c>
      <c r="J11" s="10">
        <f t="shared" si="3"/>
        <v>9111</v>
      </c>
      <c r="K11" s="7">
        <v>0.0</v>
      </c>
      <c r="L11" s="1"/>
      <c r="M11" s="7">
        <f t="shared" si="4"/>
        <v>9111</v>
      </c>
      <c r="N11" s="7">
        <v>1.0</v>
      </c>
      <c r="O11" s="10">
        <f t="shared" si="5"/>
        <v>9111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26</v>
      </c>
      <c r="B12" s="7">
        <v>57439.0</v>
      </c>
      <c r="C12" s="8">
        <v>18521.0</v>
      </c>
      <c r="D12" s="8">
        <v>18598.0</v>
      </c>
      <c r="E12" s="7">
        <f t="shared" si="1"/>
        <v>77</v>
      </c>
      <c r="F12" s="7">
        <f t="shared" si="2"/>
        <v>693</v>
      </c>
      <c r="G12" s="8">
        <v>7000.0</v>
      </c>
      <c r="H12" s="7">
        <v>1080.0</v>
      </c>
      <c r="I12" s="9">
        <v>500.0</v>
      </c>
      <c r="J12" s="10">
        <f t="shared" si="3"/>
        <v>9273</v>
      </c>
      <c r="K12" s="7">
        <v>0.0</v>
      </c>
      <c r="L12" s="2"/>
      <c r="M12" s="7">
        <f t="shared" si="4"/>
        <v>9273</v>
      </c>
      <c r="N12" s="7">
        <v>1.0</v>
      </c>
      <c r="O12" s="10">
        <f t="shared" si="5"/>
        <v>9273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27</v>
      </c>
      <c r="B13" s="7">
        <v>57420.0</v>
      </c>
      <c r="C13" s="8">
        <v>21643.0</v>
      </c>
      <c r="D13" s="8">
        <v>21822.0</v>
      </c>
      <c r="E13" s="7">
        <f t="shared" si="1"/>
        <v>179</v>
      </c>
      <c r="F13" s="7">
        <f t="shared" si="2"/>
        <v>1611</v>
      </c>
      <c r="G13" s="8">
        <v>7000.0</v>
      </c>
      <c r="H13" s="7">
        <v>1080.0</v>
      </c>
      <c r="I13" s="9">
        <v>500.0</v>
      </c>
      <c r="J13" s="10">
        <f t="shared" si="3"/>
        <v>10191</v>
      </c>
      <c r="K13" s="8">
        <v>0.0</v>
      </c>
      <c r="L13" s="2"/>
      <c r="M13" s="7">
        <f t="shared" si="4"/>
        <v>10191</v>
      </c>
      <c r="N13" s="7">
        <v>1.0</v>
      </c>
      <c r="O13" s="10">
        <f t="shared" si="5"/>
        <v>10191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28</v>
      </c>
      <c r="B14" s="7">
        <v>57417.0</v>
      </c>
      <c r="C14" s="8">
        <v>9405.0</v>
      </c>
      <c r="D14" s="8">
        <v>9494.0</v>
      </c>
      <c r="E14" s="7">
        <f t="shared" si="1"/>
        <v>89</v>
      </c>
      <c r="F14" s="7">
        <f t="shared" si="2"/>
        <v>801</v>
      </c>
      <c r="G14" s="8">
        <v>7000.0</v>
      </c>
      <c r="H14" s="7">
        <v>1080.0</v>
      </c>
      <c r="I14" s="9">
        <v>500.0</v>
      </c>
      <c r="J14" s="10">
        <f t="shared" si="3"/>
        <v>9381</v>
      </c>
      <c r="K14" s="7">
        <v>0.0</v>
      </c>
      <c r="L14" s="2"/>
      <c r="M14" s="7">
        <f t="shared" si="4"/>
        <v>9381</v>
      </c>
      <c r="N14" s="7">
        <v>1.0</v>
      </c>
      <c r="O14" s="10">
        <f t="shared" si="5"/>
        <v>9381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29</v>
      </c>
      <c r="B15" s="7">
        <v>57411.0</v>
      </c>
      <c r="C15" s="8">
        <v>10796.0</v>
      </c>
      <c r="D15" s="8">
        <v>10925.0</v>
      </c>
      <c r="E15" s="7">
        <f t="shared" si="1"/>
        <v>129</v>
      </c>
      <c r="F15" s="7">
        <f t="shared" si="2"/>
        <v>1161</v>
      </c>
      <c r="G15" s="8">
        <v>7000.0</v>
      </c>
      <c r="H15" s="7">
        <v>1080.0</v>
      </c>
      <c r="I15" s="9">
        <v>500.0</v>
      </c>
      <c r="J15" s="10">
        <f t="shared" si="3"/>
        <v>9741</v>
      </c>
      <c r="K15" s="7">
        <v>0.0</v>
      </c>
      <c r="L15" s="2"/>
      <c r="M15" s="7">
        <f t="shared" si="4"/>
        <v>9741</v>
      </c>
      <c r="N15" s="7">
        <v>1.0</v>
      </c>
      <c r="O15" s="10">
        <f t="shared" si="5"/>
        <v>9741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30</v>
      </c>
      <c r="B16" s="7">
        <v>57418.0</v>
      </c>
      <c r="C16" s="8">
        <v>13748.0</v>
      </c>
      <c r="D16" s="8">
        <v>14175.0</v>
      </c>
      <c r="E16" s="7">
        <f t="shared" si="1"/>
        <v>427</v>
      </c>
      <c r="F16" s="7">
        <f t="shared" si="2"/>
        <v>4270</v>
      </c>
      <c r="G16" s="7">
        <v>7000.0</v>
      </c>
      <c r="H16" s="7">
        <v>1080.0</v>
      </c>
      <c r="I16" s="9">
        <v>500.0</v>
      </c>
      <c r="J16" s="10">
        <f t="shared" si="3"/>
        <v>12850</v>
      </c>
      <c r="K16" s="7">
        <v>0.0</v>
      </c>
      <c r="L16" s="2"/>
      <c r="M16" s="7">
        <f t="shared" si="4"/>
        <v>12850</v>
      </c>
      <c r="N16" s="7">
        <v>1.0</v>
      </c>
      <c r="O16" s="10">
        <f t="shared" si="5"/>
        <v>12850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31</v>
      </c>
      <c r="B17" s="7">
        <v>1.0368023E7</v>
      </c>
      <c r="C17" s="8">
        <v>20630.0</v>
      </c>
      <c r="D17" s="8">
        <v>20711.0</v>
      </c>
      <c r="E17" s="7">
        <f t="shared" si="1"/>
        <v>81</v>
      </c>
      <c r="F17" s="7">
        <f t="shared" si="2"/>
        <v>729</v>
      </c>
      <c r="G17" s="8">
        <v>7000.0</v>
      </c>
      <c r="H17" s="7">
        <v>1080.0</v>
      </c>
      <c r="I17" s="9">
        <v>500.0</v>
      </c>
      <c r="J17" s="10">
        <f t="shared" si="3"/>
        <v>9309</v>
      </c>
      <c r="K17" s="7">
        <v>0.0</v>
      </c>
      <c r="L17" s="2"/>
      <c r="M17" s="7">
        <f t="shared" si="4"/>
        <v>9360</v>
      </c>
      <c r="N17" s="7">
        <v>1.0</v>
      </c>
      <c r="O17" s="10">
        <f>(J17*N17)+K17+51</f>
        <v>9360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32</v>
      </c>
      <c r="B18" s="7">
        <v>43256.0</v>
      </c>
      <c r="C18" s="8">
        <v>14004.0</v>
      </c>
      <c r="D18" s="8">
        <v>14221.0</v>
      </c>
      <c r="E18" s="7">
        <f t="shared" si="1"/>
        <v>217</v>
      </c>
      <c r="F18" s="7">
        <f t="shared" si="2"/>
        <v>2170</v>
      </c>
      <c r="G18" s="8">
        <v>7000.0</v>
      </c>
      <c r="H18" s="7">
        <v>1080.0</v>
      </c>
      <c r="I18" s="9">
        <v>500.0</v>
      </c>
      <c r="J18" s="10">
        <f t="shared" si="3"/>
        <v>10750</v>
      </c>
      <c r="K18" s="7">
        <v>0.0</v>
      </c>
      <c r="L18" s="2"/>
      <c r="M18" s="7">
        <f t="shared" si="4"/>
        <v>10750</v>
      </c>
      <c r="N18" s="7">
        <v>1.0</v>
      </c>
      <c r="O18" s="10">
        <f>(J18*N18)+K18</f>
        <v>10750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/>
      <c r="B19" s="2"/>
      <c r="C19" s="2"/>
      <c r="D19" s="2"/>
      <c r="E19" s="7"/>
      <c r="F19" s="7">
        <f t="shared" si="2"/>
        <v>0</v>
      </c>
      <c r="G19" s="2"/>
      <c r="H19" s="7"/>
      <c r="I19" s="10"/>
      <c r="J19" s="10"/>
      <c r="K19" s="7"/>
      <c r="L19" s="2"/>
      <c r="M19" s="7"/>
      <c r="N19" s="2"/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7"/>
      <c r="F20" s="7">
        <f t="shared" si="2"/>
        <v>0</v>
      </c>
      <c r="G20" s="2"/>
      <c r="H20" s="2"/>
      <c r="I20" s="10"/>
      <c r="J20" s="10"/>
      <c r="K20" s="7"/>
      <c r="L20" s="2"/>
      <c r="M20" s="7"/>
      <c r="N20" s="2"/>
      <c r="O20" s="10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E21" s="7"/>
      <c r="F21" s="7">
        <f t="shared" si="2"/>
        <v>0</v>
      </c>
      <c r="G21" s="2"/>
      <c r="H21" s="2"/>
      <c r="I21" s="10"/>
      <c r="J21" s="10"/>
      <c r="K21" s="7"/>
      <c r="L21" s="2"/>
      <c r="M21" s="7"/>
      <c r="N21" s="2"/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/>
      <c r="B22" s="2"/>
      <c r="C22" s="2"/>
      <c r="E22" s="7"/>
      <c r="F22" s="7">
        <f t="shared" si="2"/>
        <v>0</v>
      </c>
      <c r="G22" s="2"/>
      <c r="H22" s="2"/>
      <c r="I22" s="10"/>
      <c r="J22" s="10"/>
      <c r="K22" s="7"/>
      <c r="L22" s="2"/>
      <c r="M22" s="7"/>
      <c r="N22" s="11"/>
      <c r="O22" s="1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16</v>
      </c>
      <c r="B23" s="2"/>
      <c r="C23" s="8">
        <v>5035.0</v>
      </c>
      <c r="D23" s="8">
        <v>5146.0</v>
      </c>
      <c r="E23" s="7">
        <f t="shared" ref="E23:E28" si="6">D23-C23</f>
        <v>111</v>
      </c>
      <c r="F23" s="7">
        <f t="shared" si="2"/>
        <v>999</v>
      </c>
      <c r="G23" s="8">
        <v>5500.0</v>
      </c>
      <c r="H23" s="8">
        <v>1080.0</v>
      </c>
      <c r="I23" s="9">
        <v>400.0</v>
      </c>
      <c r="J23" s="10">
        <f t="shared" ref="J23:J28" si="7">sum(F23:I23)</f>
        <v>7979</v>
      </c>
      <c r="K23" s="7">
        <v>0.0</v>
      </c>
      <c r="L23" s="2"/>
      <c r="M23" s="7">
        <f t="shared" ref="M23:M28" si="8">O23-L23</f>
        <v>7979</v>
      </c>
      <c r="N23" s="12">
        <v>1.0</v>
      </c>
      <c r="O23" s="10">
        <f>(J23*N23)+K23</f>
        <v>7979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7"/>
    </row>
    <row r="24">
      <c r="A24" s="6" t="s">
        <v>17</v>
      </c>
      <c r="B24" s="1"/>
      <c r="C24" s="8">
        <v>9108.0</v>
      </c>
      <c r="D24" s="8">
        <v>9139.0</v>
      </c>
      <c r="E24" s="7">
        <f t="shared" si="6"/>
        <v>31</v>
      </c>
      <c r="F24" s="7">
        <f t="shared" si="2"/>
        <v>279</v>
      </c>
      <c r="G24" s="2">
        <v>7500.0</v>
      </c>
      <c r="H24" s="7">
        <v>1080.0</v>
      </c>
      <c r="I24" s="9">
        <v>400.0</v>
      </c>
      <c r="J24" s="10">
        <f t="shared" si="7"/>
        <v>9259</v>
      </c>
      <c r="K24" s="7">
        <v>0.0</v>
      </c>
      <c r="L24" s="2"/>
      <c r="M24" s="7">
        <f t="shared" si="8"/>
        <v>12000</v>
      </c>
      <c r="N24" s="12">
        <v>1.0</v>
      </c>
      <c r="O24" s="10">
        <f>IF(E3&lt;12000, 12000, (J24*N24)+K24)</f>
        <v>12000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7"/>
    </row>
    <row r="25">
      <c r="A25" s="13" t="s">
        <v>18</v>
      </c>
      <c r="B25" s="2"/>
      <c r="C25" s="8">
        <v>20224.0</v>
      </c>
      <c r="D25" s="8">
        <v>20382.0</v>
      </c>
      <c r="E25" s="7">
        <f t="shared" si="6"/>
        <v>158</v>
      </c>
      <c r="F25" s="7">
        <f t="shared" si="2"/>
        <v>1422</v>
      </c>
      <c r="G25" s="2"/>
      <c r="H25" s="8">
        <v>1080.0</v>
      </c>
      <c r="I25" s="9">
        <v>400.0</v>
      </c>
      <c r="J25" s="10">
        <f t="shared" si="7"/>
        <v>2902</v>
      </c>
      <c r="K25" s="7">
        <v>0.0</v>
      </c>
      <c r="L25" s="2"/>
      <c r="M25" s="7">
        <f t="shared" si="8"/>
        <v>2902</v>
      </c>
      <c r="N25" s="12">
        <v>1.0</v>
      </c>
      <c r="O25" s="10">
        <f t="shared" ref="O25:O28" si="9">(J25*N25)+K25</f>
        <v>2902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8"/>
    </row>
    <row r="26">
      <c r="A26" s="6" t="s">
        <v>19</v>
      </c>
      <c r="B26" s="2"/>
      <c r="C26" s="8">
        <v>9297.0</v>
      </c>
      <c r="D26" s="8">
        <v>9722.0</v>
      </c>
      <c r="E26" s="7">
        <f t="shared" si="6"/>
        <v>425</v>
      </c>
      <c r="F26" s="7">
        <f t="shared" si="2"/>
        <v>4250</v>
      </c>
      <c r="G26" s="1">
        <v>7000.0</v>
      </c>
      <c r="H26" s="7">
        <v>1080.0</v>
      </c>
      <c r="I26" s="9">
        <v>400.0</v>
      </c>
      <c r="J26" s="10">
        <f t="shared" si="7"/>
        <v>12730</v>
      </c>
      <c r="K26" s="7">
        <v>0.0</v>
      </c>
      <c r="L26" s="2"/>
      <c r="M26" s="7">
        <f t="shared" si="8"/>
        <v>12730</v>
      </c>
      <c r="N26" s="12">
        <v>1.0</v>
      </c>
      <c r="O26" s="10">
        <f t="shared" si="9"/>
        <v>12730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7"/>
    </row>
    <row r="27">
      <c r="A27" s="6" t="s">
        <v>33</v>
      </c>
      <c r="B27" s="2"/>
      <c r="C27" s="8">
        <v>6124.0</v>
      </c>
      <c r="D27" s="8">
        <v>6144.0</v>
      </c>
      <c r="E27" s="7">
        <f t="shared" si="6"/>
        <v>20</v>
      </c>
      <c r="F27" s="7">
        <f t="shared" si="2"/>
        <v>180</v>
      </c>
      <c r="G27" s="8">
        <v>8000.0</v>
      </c>
      <c r="H27" s="7">
        <v>1080.0</v>
      </c>
      <c r="I27" s="9">
        <v>400.0</v>
      </c>
      <c r="J27" s="10">
        <f t="shared" si="7"/>
        <v>9660</v>
      </c>
      <c r="K27" s="8">
        <v>0.0</v>
      </c>
      <c r="L27" s="1"/>
      <c r="M27" s="7">
        <f t="shared" si="8"/>
        <v>9660</v>
      </c>
      <c r="N27" s="7">
        <v>1.0</v>
      </c>
      <c r="O27" s="10">
        <f t="shared" si="9"/>
        <v>9660</v>
      </c>
      <c r="P27" s="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34</v>
      </c>
      <c r="B28" s="2"/>
      <c r="C28" s="8">
        <v>6504.0</v>
      </c>
      <c r="D28" s="8">
        <v>6534.0</v>
      </c>
      <c r="E28" s="7">
        <f t="shared" si="6"/>
        <v>30</v>
      </c>
      <c r="F28" s="7">
        <f t="shared" si="2"/>
        <v>270</v>
      </c>
      <c r="G28" s="2">
        <v>7000.0</v>
      </c>
      <c r="H28" s="7">
        <v>1080.0</v>
      </c>
      <c r="I28" s="9">
        <v>400.0</v>
      </c>
      <c r="J28" s="10">
        <f t="shared" si="7"/>
        <v>8750</v>
      </c>
      <c r="K28" s="7">
        <v>0.0</v>
      </c>
      <c r="L28" s="2"/>
      <c r="M28" s="7">
        <f t="shared" si="8"/>
        <v>8750</v>
      </c>
      <c r="N28" s="1">
        <v>1.0</v>
      </c>
      <c r="O28" s="10">
        <f t="shared" si="9"/>
        <v>8750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/>
      <c r="B29" s="2"/>
      <c r="C29" s="1" t="s">
        <v>35</v>
      </c>
      <c r="D29" s="1"/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/>
      <c r="B32" s="6"/>
      <c r="C32" s="6"/>
      <c r="D32" s="2"/>
      <c r="E32" s="6"/>
      <c r="F32" s="6"/>
      <c r="G32" s="6"/>
      <c r="H32" s="6"/>
      <c r="I32" s="6"/>
      <c r="J32" s="6"/>
      <c r="K32" s="6"/>
      <c r="L32" s="6"/>
      <c r="M32" s="6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/>
      <c r="B33" s="6"/>
      <c r="C33" s="6"/>
      <c r="D33" s="2"/>
      <c r="E33" s="6"/>
      <c r="F33" s="6"/>
      <c r="G33" s="6">
        <f>sum(G2:G28)</f>
        <v>148500</v>
      </c>
      <c r="H33" s="6"/>
      <c r="I33" s="6"/>
      <c r="J33" s="6"/>
      <c r="K33" s="2"/>
      <c r="L33" s="6"/>
      <c r="M33" s="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/>
      <c r="B34" s="6"/>
      <c r="C34" s="6"/>
      <c r="D34" s="2"/>
      <c r="E34" s="6"/>
      <c r="I34" s="6"/>
      <c r="K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/>
      <c r="B35" s="6"/>
      <c r="C35" s="6"/>
      <c r="D35" s="2"/>
      <c r="E35" s="6"/>
      <c r="F35" s="6"/>
      <c r="G35" s="6"/>
      <c r="H35" s="6"/>
      <c r="I35" s="6"/>
      <c r="J35" s="6"/>
      <c r="K35" s="2"/>
      <c r="L35" s="6"/>
      <c r="M35" s="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/>
      <c r="B36" s="6"/>
      <c r="C36" s="6"/>
      <c r="D36" s="2"/>
      <c r="E36" s="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/>
      <c r="B37" s="6"/>
      <c r="C37" s="6"/>
      <c r="D37" s="2"/>
      <c r="E37" s="6"/>
      <c r="F37" s="2"/>
      <c r="G37" s="2"/>
      <c r="H37" s="1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/>
      <c r="B38" s="6"/>
      <c r="C38" s="6"/>
      <c r="D38" s="2"/>
      <c r="E38" s="6"/>
      <c r="F38" s="2"/>
      <c r="G38" s="2"/>
      <c r="H38" s="6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/>
      <c r="B39" s="6"/>
      <c r="C39" s="6"/>
      <c r="D39" s="2"/>
      <c r="E39" s="6"/>
      <c r="F39" s="2"/>
      <c r="G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1" t="s">
        <v>36</v>
      </c>
      <c r="H41" s="1" t="s">
        <v>37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1">
        <v>34982.0</v>
      </c>
      <c r="H42" s="2">
        <f>sum(F2:F28)</f>
        <v>27178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1" t="s">
        <v>38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1">
        <f>(G42 - 5483)</f>
        <v>29499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1" t="s">
        <v>39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1">
        <v>3124.0</v>
      </c>
      <c r="H47" s="2">
        <f>G47*9</f>
        <v>28116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>
        <f>G44/G47</f>
        <v>9.442701665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7">
    <mergeCell ref="F33:F34"/>
    <mergeCell ref="G33:G34"/>
    <mergeCell ref="H33:H34"/>
    <mergeCell ref="J33:J34"/>
    <mergeCell ref="L33:L34"/>
    <mergeCell ref="M33:M34"/>
    <mergeCell ref="H38:H39"/>
  </mergeCells>
  <drawing r:id="rId1"/>
</worksheet>
</file>